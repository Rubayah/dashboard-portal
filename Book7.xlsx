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8_{EB8B4DD0-713E-3049-8E89-7B56F3F96BAB}" xr6:coauthVersionLast="47" xr6:coauthVersionMax="47" xr10:uidLastSave="{00000000-0000-0000-0000-000000000000}"/>
  <bookViews>
    <workbookView xWindow="-160" yWindow="2100" windowWidth="25640" windowHeight="13420" activeTab="1" xr2:uid="{52F44AF7-FE2E-B049-B35E-7BA4E24EECE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M11" i="2"/>
  <c r="L11" i="2"/>
  <c r="K11" i="2"/>
  <c r="O11" i="2" s="1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P11" i="2" s="1"/>
  <c r="O3" i="2"/>
</calcChain>
</file>

<file path=xl/sharedStrings.xml><?xml version="1.0" encoding="utf-8"?>
<sst xmlns="http://schemas.openxmlformats.org/spreadsheetml/2006/main" count="587" uniqueCount="126">
  <si>
    <t>MONTHLY BREAKDOWN</t>
  </si>
  <si>
    <t>Month</t>
  </si>
  <si>
    <t>Accounts</t>
  </si>
  <si>
    <t>Total Revenue</t>
  </si>
  <si>
    <t>Product+PS</t>
  </si>
  <si>
    <t>Consumables</t>
  </si>
  <si>
    <t>Prod %</t>
  </si>
  <si>
    <t>Cons %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</si>
  <si>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</si>
  <si>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</si>
  <si>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</si>
  <si>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</si>
  <si>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</si>
  <si>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</si>
  <si>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</si>
  <si>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</si>
  <si>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NEW ACCOUNTS BREAKDOWN - TOTAL, PRODUCT+PS, CONSUMABLES</t>
  </si>
  <si>
    <t xml:space="preserve">Total Summary </t>
  </si>
  <si>
    <t>GC Count</t>
  </si>
  <si>
    <t>GC Revenue (Rs)</t>
  </si>
  <si>
    <t>RC Count</t>
  </si>
  <si>
    <t>RC Revenue (Rs)</t>
  </si>
  <si>
    <t>Total Count</t>
  </si>
  <si>
    <t>Total Revenue (Rs)</t>
  </si>
  <si>
    <t>OVERALL TOTALS</t>
  </si>
  <si>
    <t>Segment</t>
  </si>
  <si>
    <t>Product+PS Revenue</t>
  </si>
  <si>
    <t>Consumables Revenue</t>
  </si>
  <si>
    <t>MEA Focus (GC)</t>
  </si>
  <si>
    <t>RC MEA</t>
  </si>
  <si>
    <t>TOTAL</t>
  </si>
  <si>
    <t>PRODUCT+PS REVENUE - NEW ACCOUNTS</t>
  </si>
  <si>
    <t>Brand Name</t>
  </si>
  <si>
    <t>Product %</t>
  </si>
  <si>
    <t>Al Yasra</t>
  </si>
  <si>
    <t>99.8%</t>
  </si>
  <si>
    <t>Reef Perfumes</t>
  </si>
  <si>
    <t>96.3%</t>
  </si>
  <si>
    <t>Go Bus</t>
  </si>
  <si>
    <t>Vaneer</t>
  </si>
  <si>
    <t>79.4%</t>
  </si>
  <si>
    <t>Pulse of Modern</t>
  </si>
  <si>
    <t>100.0%</t>
  </si>
  <si>
    <t>Tamkeen</t>
  </si>
  <si>
    <t>Power International Holding</t>
  </si>
  <si>
    <t>Talasea</t>
  </si>
  <si>
    <t>Walaplus</t>
  </si>
  <si>
    <t>Ozz Oud</t>
  </si>
  <si>
    <t>Roaya Trade</t>
  </si>
  <si>
    <t>Melligold</t>
  </si>
  <si>
    <t>Salus</t>
  </si>
  <si>
    <t>Kaspersky</t>
  </si>
  <si>
    <t>Cleargrid</t>
  </si>
  <si>
    <t>Amlak</t>
  </si>
  <si>
    <t>MIS Pay</t>
  </si>
  <si>
    <t>99.5%</t>
  </si>
  <si>
    <t>hamrah tel</t>
  </si>
  <si>
    <t>InvestSky</t>
  </si>
  <si>
    <t>Abdulwahed</t>
  </si>
  <si>
    <t>95.9%</t>
  </si>
  <si>
    <t>Buy Review</t>
  </si>
  <si>
    <t>98.8%</t>
  </si>
  <si>
    <t>AlHome Store</t>
  </si>
  <si>
    <t>Mawsim</t>
  </si>
  <si>
    <t>99.9%</t>
  </si>
  <si>
    <t>Khanoumi</t>
  </si>
  <si>
    <t>Tasheel Finance (Part of eXtra)</t>
  </si>
  <si>
    <t>Namaya Investment</t>
  </si>
  <si>
    <t>Learners Point Academy</t>
  </si>
  <si>
    <t>Hafla</t>
  </si>
  <si>
    <t>Abyan Capital</t>
  </si>
  <si>
    <t>Ismaeel Jamaan AlJamaan Trading Est. (AC Zurex)</t>
  </si>
  <si>
    <t>Elyak Sumaya</t>
  </si>
  <si>
    <t>Kuwait Gallery</t>
  </si>
  <si>
    <t>Twin mind (Thirdear.ai)</t>
  </si>
  <si>
    <t>Undergoods</t>
  </si>
  <si>
    <t>KANNA</t>
  </si>
  <si>
    <t>Ladoun</t>
  </si>
  <si>
    <t>Nahdet Misr Publishing Group</t>
  </si>
  <si>
    <t>Pet Point</t>
  </si>
  <si>
    <t>Ladeena</t>
  </si>
  <si>
    <t>6.2%</t>
  </si>
  <si>
    <t>Alfa Co.</t>
  </si>
  <si>
    <t>Amaani</t>
  </si>
  <si>
    <t>Tapsi Market</t>
  </si>
  <si>
    <t>Hiba</t>
  </si>
  <si>
    <t>Parto CRS</t>
  </si>
  <si>
    <t>Tekeya Application</t>
  </si>
  <si>
    <t>SaadatRen</t>
  </si>
  <si>
    <t>Wt For Tourism &amp; Travel</t>
  </si>
  <si>
    <t>Zarafa</t>
  </si>
  <si>
    <t>Victoria Courts</t>
  </si>
  <si>
    <t>47.1%</t>
  </si>
  <si>
    <t>Barter Tech</t>
  </si>
  <si>
    <t>83.4%</t>
  </si>
  <si>
    <t>Start Deed</t>
  </si>
  <si>
    <t>Wakanow</t>
  </si>
  <si>
    <t>12.0%</t>
  </si>
  <si>
    <t>Cence Portal</t>
  </si>
  <si>
    <t>Only Tourism</t>
  </si>
  <si>
    <t>Instaprints</t>
  </si>
  <si>
    <t>Salla</t>
  </si>
  <si>
    <t>Sharjah Media City (Shams)</t>
  </si>
  <si>
    <t>Spectra Broker</t>
  </si>
  <si>
    <t>61.3%</t>
  </si>
  <si>
    <t>Visa USA</t>
  </si>
  <si>
    <t>0.0%</t>
  </si>
  <si>
    <t>Laverne &amp;Assaf</t>
  </si>
  <si>
    <t>The Wishlist</t>
  </si>
  <si>
    <t>TicketJee</t>
  </si>
  <si>
    <t>Spring Rose</t>
  </si>
  <si>
    <t>Ahmed El Sallab</t>
  </si>
  <si>
    <t>CONSUMABLES REVENUE - NEW ACCOUNTS</t>
  </si>
  <si>
    <t>Consumables %</t>
  </si>
  <si>
    <t>93.8%</t>
  </si>
  <si>
    <t>88.0%</t>
  </si>
  <si>
    <t>20.6%</t>
  </si>
  <si>
    <t>52.9%</t>
  </si>
  <si>
    <t>3.7%</t>
  </si>
  <si>
    <t>4.1%</t>
  </si>
  <si>
    <t>16.6%</t>
  </si>
  <si>
    <t>38.7%</t>
  </si>
  <si>
    <t>0.2%</t>
  </si>
  <si>
    <t>1.2%</t>
  </si>
  <si>
    <t>0.5%</t>
  </si>
  <si>
    <t>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</si>
</sst>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/>
    <xf numFmtId="4" fontId="5" fillId="4" borderId="0" xfId="0" applyNumberFormat="1" applyFont="1" applyFill="1"/>
    <xf numFmtId="10" fontId="5" fillId="4" borderId="0" xfId="0" applyNumberFormat="1" applyFont="1" applyFill="1"/>
    <xf numFmtId="0" fontId="5" fillId="0" borderId="0" xfId="0" applyFont="1"/>
    <xf numFmtId="3" fontId="5" fillId="0" borderId="0" xfId="0" applyNumberFormat="1" applyFont="1"/>
    <xf numFmtId="3" fontId="0" fillId="0" borderId="0" xfId="0" applyNumberFormat="1"/>
    <xf numFmtId="0" fontId="6" fillId="0" borderId="0" xfId="0" applyFo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0746-4A64-6E49-BEB1-0B74060DC51F}">
  <dimension ref="A1:G10"/>
  <sheetViews>
    <sheetView workbookViewId="0">
      <selection activeCell="F16" sqref="F16"/>
    </sheetView>
  </sheetViews>
  <sheetFormatPr baseColWidth="10" defaultRowHeight="16" x14ac:dyDescent="0.2"/>
  <sheetData>
    <row r="1" spans="1:7" x14ac:dyDescent="0.2">
      <c r="A1" s="1" t="s">
        <v>0</v>
      </c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">
      <c r="A3" t="s">
        <v>8</v>
      </c>
      <c r="B3">
        <v>10</v>
      </c>
      <c r="C3" s="3">
        <v>934610.08174386946</v>
      </c>
      <c r="D3" s="3">
        <v>724919.17915531341</v>
      </c>
      <c r="E3" s="3">
        <v>209690.90258855591</v>
      </c>
      <c r="F3" s="4">
        <v>0.77600000000000002</v>
      </c>
      <c r="G3" s="4">
        <v>0.224</v>
      </c>
    </row>
    <row r="4" spans="1:7" x14ac:dyDescent="0.2">
      <c r="A4" t="s">
        <v>9</v>
      </c>
      <c r="B4">
        <v>2</v>
      </c>
      <c r="C4" s="3">
        <v>115774.60738171911</v>
      </c>
      <c r="D4" s="3">
        <v>115774.60738171911</v>
      </c>
      <c r="E4" s="3">
        <v>0</v>
      </c>
      <c r="F4" s="4">
        <v>1</v>
      </c>
      <c r="G4" s="4">
        <v>0</v>
      </c>
    </row>
    <row r="5" spans="1:7" x14ac:dyDescent="0.2">
      <c r="A5" t="s">
        <v>10</v>
      </c>
      <c r="B5">
        <v>9</v>
      </c>
      <c r="C5" s="3">
        <v>902845.72434976464</v>
      </c>
      <c r="D5" s="3">
        <v>887076.44483527378</v>
      </c>
      <c r="E5" s="3">
        <v>15769.27951449096</v>
      </c>
      <c r="F5" s="4">
        <v>0.98299999999999998</v>
      </c>
      <c r="G5" s="4">
        <v>1.7000000000000001E-2</v>
      </c>
    </row>
    <row r="6" spans="1:7" x14ac:dyDescent="0.2">
      <c r="A6" t="s">
        <v>11</v>
      </c>
      <c r="B6">
        <v>10</v>
      </c>
      <c r="C6" s="3">
        <v>1936762.5501857819</v>
      </c>
      <c r="D6" s="3">
        <v>1911970.3016348779</v>
      </c>
      <c r="E6" s="3">
        <v>24792.24855090414</v>
      </c>
      <c r="F6" s="4">
        <v>0.98699999999999999</v>
      </c>
      <c r="G6" s="4">
        <v>1.2999999999999999E-2</v>
      </c>
    </row>
    <row r="7" spans="1:7" x14ac:dyDescent="0.2">
      <c r="A7" t="s">
        <v>12</v>
      </c>
      <c r="B7">
        <v>9</v>
      </c>
      <c r="C7" s="3">
        <v>1126005.2084468659</v>
      </c>
      <c r="D7" s="3">
        <v>1114383.476442903</v>
      </c>
      <c r="E7" s="3">
        <v>11621.73200396334</v>
      </c>
      <c r="F7" s="4">
        <v>0.99</v>
      </c>
      <c r="G7" s="4">
        <v>0.01</v>
      </c>
    </row>
    <row r="8" spans="1:7" x14ac:dyDescent="0.2">
      <c r="A8" t="s">
        <v>13</v>
      </c>
      <c r="B8">
        <v>7</v>
      </c>
      <c r="C8" s="3">
        <v>558404.72581124597</v>
      </c>
      <c r="D8" s="3">
        <v>531755.33528610354</v>
      </c>
      <c r="E8" s="3">
        <v>26649.390525142429</v>
      </c>
      <c r="F8" s="4">
        <v>0.95199999999999996</v>
      </c>
      <c r="G8" s="4">
        <v>4.8000000000000001E-2</v>
      </c>
    </row>
    <row r="9" spans="1:7" x14ac:dyDescent="0.2">
      <c r="A9" t="s">
        <v>14</v>
      </c>
      <c r="B9">
        <v>6</v>
      </c>
      <c r="C9" s="3">
        <v>725835.82161258359</v>
      </c>
      <c r="D9" s="3">
        <v>153948.80816200149</v>
      </c>
      <c r="E9" s="3">
        <v>571887.01345058205</v>
      </c>
      <c r="F9" s="4">
        <v>0.21199999999999999</v>
      </c>
      <c r="G9" s="4">
        <v>0.78800000000000003</v>
      </c>
    </row>
    <row r="10" spans="1:7" x14ac:dyDescent="0.2">
      <c r="A10" t="s">
        <v>15</v>
      </c>
      <c r="B10">
        <v>11</v>
      </c>
      <c r="C10" s="3">
        <v>836554.97597225686</v>
      </c>
      <c r="D10" s="3">
        <v>631924.25216745108</v>
      </c>
      <c r="E10" s="3">
        <v>204630.72380480549</v>
      </c>
      <c r="F10" s="4">
        <v>0.755</v>
      </c>
      <c r="G10" s="4">
        <v>0.245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4A22-8FB5-394D-8F64-8963ADF0196D}">
  <dimension ref="A1:S153"/>
  <sheetViews>
    <sheetView tabSelected="1" topLeftCell="A21" workbookViewId="0">
      <selection activeCell="A20" sqref="A20"/>
    </sheetView>
  </sheetViews>
  <sheetFormatPr baseColWidth="10" defaultColWidth="8.83203125" defaultRowHeight="16" x14ac:dyDescent="0.2"/>
  <cols>
    <col min="1" max="1" width="18" customWidth="1"/>
    <col min="2" max="2" width="12" customWidth="1"/>
    <col min="3" max="5" width="18" customWidth="1"/>
    <col min="6" max="7" width="12" customWidth="1"/>
    <col min="10" max="16" width="13.5" customWidth="1"/>
    <col min="19" max="19" width="10.1640625" bestFit="1" customWidth="1"/>
  </cols>
  <sheetData>
    <row r="1" spans="1:19" ht="19" x14ac:dyDescent="0.25">
      <c r="A1" s="5" t="s">
        <v>16</v>
      </c>
      <c r="B1" s="6"/>
      <c r="C1" s="6"/>
      <c r="D1" s="6"/>
      <c r="E1" s="6"/>
      <c r="F1" s="6"/>
      <c r="G1" s="6"/>
      <c r="J1" t="s">
        <v>17</v>
      </c>
    </row>
    <row r="2" spans="1:19" ht="32" x14ac:dyDescent="0.2">
      <c r="J2" s="7" t="s">
        <v>1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</row>
    <row r="3" spans="1:19" x14ac:dyDescent="0.2">
      <c r="A3" s="1" t="s">
        <v>24</v>
      </c>
      <c r="J3" t="s">
        <v>8</v>
      </c>
      <c r="K3">
        <v>4</v>
      </c>
      <c r="L3" s="3">
        <v>507161.97888283379</v>
      </c>
      <c r="M3">
        <v>6</v>
      </c>
      <c r="N3" s="3">
        <v>427448.1028610355</v>
      </c>
      <c r="O3">
        <f>K3+M3</f>
        <v>10</v>
      </c>
      <c r="P3" s="3">
        <f>L3+N3</f>
        <v>934610.08174386923</v>
      </c>
    </row>
    <row r="4" spans="1:19" x14ac:dyDescent="0.2">
      <c r="A4" s="8" t="s">
        <v>25</v>
      </c>
      <c r="B4" s="8" t="s">
        <v>2</v>
      </c>
      <c r="C4" s="8" t="s">
        <v>3</v>
      </c>
      <c r="D4" s="8" t="s">
        <v>26</v>
      </c>
      <c r="E4" s="8" t="s">
        <v>27</v>
      </c>
      <c r="F4" s="8" t="s">
        <v>6</v>
      </c>
      <c r="G4" s="8" t="s">
        <v>7</v>
      </c>
      <c r="J4" t="s">
        <v>9</v>
      </c>
      <c r="K4">
        <v>1</v>
      </c>
      <c r="L4" s="3">
        <v>51456.088679712659</v>
      </c>
      <c r="M4">
        <v>1</v>
      </c>
      <c r="N4" s="3">
        <v>64318.518702006448</v>
      </c>
      <c r="O4">
        <f t="shared" ref="O4:P11" si="0">K4+M4</f>
        <v>2</v>
      </c>
      <c r="P4" s="3">
        <f t="shared" si="0"/>
        <v>115774.60738171911</v>
      </c>
    </row>
    <row r="5" spans="1:19" x14ac:dyDescent="0.2">
      <c r="A5" t="s">
        <v>28</v>
      </c>
      <c r="B5">
        <v>29</v>
      </c>
      <c r="C5" s="3">
        <v>4739311.9634134257</v>
      </c>
      <c r="D5" s="3">
        <v>3858852.9881223682</v>
      </c>
      <c r="E5" s="3">
        <v>880458.97529105772</v>
      </c>
      <c r="F5" s="4">
        <v>0.81399999999999995</v>
      </c>
      <c r="G5" s="4">
        <v>0.186</v>
      </c>
      <c r="J5" t="s">
        <v>10</v>
      </c>
      <c r="K5">
        <v>5</v>
      </c>
      <c r="L5" s="3">
        <v>634150.07961357443</v>
      </c>
      <c r="M5">
        <v>3</v>
      </c>
      <c r="N5" s="3">
        <v>268695.64473619021</v>
      </c>
      <c r="O5">
        <f t="shared" si="0"/>
        <v>8</v>
      </c>
      <c r="P5" s="3">
        <f t="shared" si="0"/>
        <v>902845.72434976464</v>
      </c>
    </row>
    <row r="6" spans="1:19" x14ac:dyDescent="0.2">
      <c r="A6" t="s">
        <v>29</v>
      </c>
      <c r="B6">
        <v>35</v>
      </c>
      <c r="C6" s="3">
        <v>2397481.7320906618</v>
      </c>
      <c r="D6" s="3">
        <v>2212899.416943274</v>
      </c>
      <c r="E6" s="3">
        <v>184582.31514738669</v>
      </c>
      <c r="F6" s="4">
        <v>0.92300000000000004</v>
      </c>
      <c r="G6" s="4">
        <v>7.6999999999999999E-2</v>
      </c>
      <c r="J6" t="s">
        <v>11</v>
      </c>
      <c r="K6">
        <v>4</v>
      </c>
      <c r="L6" s="3">
        <v>1401138.8084220961</v>
      </c>
      <c r="M6">
        <v>6</v>
      </c>
      <c r="N6" s="3">
        <v>535623.74176368595</v>
      </c>
      <c r="O6">
        <f t="shared" si="0"/>
        <v>10</v>
      </c>
      <c r="P6" s="3">
        <f t="shared" si="0"/>
        <v>1936762.5501857819</v>
      </c>
    </row>
    <row r="7" spans="1:19" x14ac:dyDescent="0.2">
      <c r="A7" s="9" t="s">
        <v>30</v>
      </c>
      <c r="B7" s="9">
        <v>64</v>
      </c>
      <c r="C7" s="10">
        <v>7136793.695504088</v>
      </c>
      <c r="D7" s="10">
        <v>6071752.4050656427</v>
      </c>
      <c r="E7" s="10">
        <v>1065041.2904384439</v>
      </c>
      <c r="F7" s="11">
        <v>0.85099999999999998</v>
      </c>
      <c r="G7" s="11">
        <v>0.14899999999999999</v>
      </c>
      <c r="J7" t="s">
        <v>12</v>
      </c>
      <c r="K7">
        <v>5</v>
      </c>
      <c r="L7" s="3">
        <v>720021.4243993063</v>
      </c>
      <c r="M7">
        <v>4</v>
      </c>
      <c r="N7" s="3">
        <v>405983.78404756001</v>
      </c>
      <c r="O7">
        <f t="shared" si="0"/>
        <v>9</v>
      </c>
      <c r="P7" s="3">
        <f t="shared" si="0"/>
        <v>1126005.2084468664</v>
      </c>
    </row>
    <row r="8" spans="1:19" x14ac:dyDescent="0.2">
      <c r="J8" t="s">
        <v>13</v>
      </c>
      <c r="K8">
        <v>2</v>
      </c>
      <c r="L8" s="3">
        <v>191614.16431756251</v>
      </c>
      <c r="M8">
        <v>5</v>
      </c>
      <c r="N8" s="3">
        <v>366790.56149368337</v>
      </c>
      <c r="O8">
        <f t="shared" si="0"/>
        <v>7</v>
      </c>
      <c r="P8" s="3">
        <f t="shared" si="0"/>
        <v>558404.72581124585</v>
      </c>
    </row>
    <row r="9" spans="1:19" x14ac:dyDescent="0.2">
      <c r="A9" s="1" t="s">
        <v>0</v>
      </c>
      <c r="J9" t="s">
        <v>14</v>
      </c>
      <c r="K9">
        <v>5</v>
      </c>
      <c r="L9" s="3">
        <v>685597.50348030718</v>
      </c>
      <c r="M9">
        <v>1</v>
      </c>
      <c r="N9" s="3">
        <v>40238.318132276443</v>
      </c>
      <c r="O9">
        <f t="shared" si="0"/>
        <v>6</v>
      </c>
      <c r="P9" s="3">
        <f t="shared" si="0"/>
        <v>725835.82161258359</v>
      </c>
    </row>
    <row r="10" spans="1:19" x14ac:dyDescent="0.2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J10" t="s">
        <v>15</v>
      </c>
      <c r="K10">
        <v>3</v>
      </c>
      <c r="L10" s="3">
        <v>548171.91561803326</v>
      </c>
      <c r="M10">
        <v>8</v>
      </c>
      <c r="N10" s="3">
        <v>288383.06035422342</v>
      </c>
      <c r="O10">
        <f t="shared" si="0"/>
        <v>11</v>
      </c>
      <c r="P10" s="3">
        <f t="shared" si="0"/>
        <v>836554.97597225662</v>
      </c>
    </row>
    <row r="11" spans="1:19" x14ac:dyDescent="0.2">
      <c r="A11" t="s">
        <v>8</v>
      </c>
      <c r="B11">
        <v>10</v>
      </c>
      <c r="C11" s="3">
        <v>934610.08174386946</v>
      </c>
      <c r="D11" s="3">
        <v>724919.17915531341</v>
      </c>
      <c r="E11" s="3">
        <v>209690.90258855591</v>
      </c>
      <c r="F11" s="4">
        <v>0.77600000000000002</v>
      </c>
      <c r="G11" s="4">
        <v>0.224</v>
      </c>
      <c r="J11" s="12" t="s">
        <v>30</v>
      </c>
      <c r="K11" s="13">
        <f>SUM(K3:K10)</f>
        <v>29</v>
      </c>
      <c r="L11" s="13">
        <f>SUM(L3:L10)</f>
        <v>4739311.9634134267</v>
      </c>
      <c r="M11" s="13">
        <f t="shared" ref="M11:P11" si="1">SUM(M3:M10)</f>
        <v>34</v>
      </c>
      <c r="N11" s="13">
        <f t="shared" si="1"/>
        <v>2397481.7320906618</v>
      </c>
      <c r="O11">
        <f t="shared" si="0"/>
        <v>63</v>
      </c>
      <c r="P11" s="13">
        <f t="shared" si="1"/>
        <v>7136793.695504088</v>
      </c>
    </row>
    <row r="12" spans="1:19" x14ac:dyDescent="0.2">
      <c r="A12" t="s">
        <v>9</v>
      </c>
      <c r="B12">
        <v>2</v>
      </c>
      <c r="C12" s="3">
        <v>115774.60738171911</v>
      </c>
      <c r="D12" s="3">
        <v>115774.60738171911</v>
      </c>
      <c r="E12" s="3">
        <v>0</v>
      </c>
      <c r="F12" s="4">
        <v>1</v>
      </c>
      <c r="G12" s="4">
        <v>0</v>
      </c>
      <c r="S12" s="3"/>
    </row>
    <row r="13" spans="1:19" x14ac:dyDescent="0.2">
      <c r="A13" t="s">
        <v>10</v>
      </c>
      <c r="B13">
        <v>9</v>
      </c>
      <c r="C13" s="3">
        <v>902845.72434976464</v>
      </c>
      <c r="D13" s="3">
        <v>887076.44483527378</v>
      </c>
      <c r="E13" s="3">
        <v>15769.27951449096</v>
      </c>
      <c r="F13" s="4">
        <v>0.98299999999999998</v>
      </c>
      <c r="G13" s="4">
        <v>1.7000000000000001E-2</v>
      </c>
      <c r="S13" s="14"/>
    </row>
    <row r="14" spans="1:19" x14ac:dyDescent="0.2">
      <c r="A14" t="s">
        <v>11</v>
      </c>
      <c r="B14">
        <v>10</v>
      </c>
      <c r="C14" s="3">
        <v>1936762.5501857819</v>
      </c>
      <c r="D14" s="3">
        <v>1911970.3016348779</v>
      </c>
      <c r="E14" s="3">
        <v>24792.24855090414</v>
      </c>
      <c r="F14" s="4">
        <v>0.98699999999999999</v>
      </c>
      <c r="G14" s="4">
        <v>1.2999999999999999E-2</v>
      </c>
    </row>
    <row r="15" spans="1:19" x14ac:dyDescent="0.2">
      <c r="A15" t="s">
        <v>12</v>
      </c>
      <c r="B15">
        <v>9</v>
      </c>
      <c r="C15" s="3">
        <v>1126005.2084468659</v>
      </c>
      <c r="D15" s="3">
        <v>1114383.476442903</v>
      </c>
      <c r="E15" s="3">
        <v>11621.73200396334</v>
      </c>
      <c r="F15" s="4">
        <v>0.99</v>
      </c>
      <c r="G15" s="4">
        <v>0.01</v>
      </c>
      <c r="K15">
        <v>4</v>
      </c>
      <c r="L15" s="3">
        <v>507161.97888283379</v>
      </c>
      <c r="M15">
        <v>6</v>
      </c>
      <c r="N15" s="3">
        <v>427448.1028610355</v>
      </c>
    </row>
    <row r="16" spans="1:19" x14ac:dyDescent="0.2">
      <c r="A16" t="s">
        <v>13</v>
      </c>
      <c r="B16">
        <v>7</v>
      </c>
      <c r="C16" s="3">
        <v>558404.72581124597</v>
      </c>
      <c r="D16" s="3">
        <v>531755.33528610354</v>
      </c>
      <c r="E16" s="3">
        <v>26649.390525142429</v>
      </c>
      <c r="F16" s="4">
        <v>0.95199999999999996</v>
      </c>
      <c r="G16" s="4">
        <v>4.8000000000000001E-2</v>
      </c>
      <c r="K16">
        <v>1</v>
      </c>
      <c r="L16" s="3">
        <v>51456.088679712659</v>
      </c>
      <c r="M16">
        <v>1</v>
      </c>
      <c r="N16" s="3">
        <v>64318.518702006448</v>
      </c>
      <c r="S16" s="14"/>
    </row>
    <row r="17" spans="1:15" x14ac:dyDescent="0.2">
      <c r="A17" t="s">
        <v>14</v>
      </c>
      <c r="B17">
        <v>6</v>
      </c>
      <c r="C17" s="3">
        <v>725835.82161258359</v>
      </c>
      <c r="D17" s="3">
        <v>153948.80816200149</v>
      </c>
      <c r="E17" s="3">
        <v>571887.01345058205</v>
      </c>
      <c r="F17" s="4">
        <v>0.21199999999999999</v>
      </c>
      <c r="G17" s="4">
        <v>0.78800000000000003</v>
      </c>
      <c r="K17">
        <v>5</v>
      </c>
      <c r="L17" s="3">
        <v>634150.07961357443</v>
      </c>
      <c r="M17">
        <v>4</v>
      </c>
      <c r="N17" s="3">
        <v>268695.64473619021</v>
      </c>
      <c r="O17" s="3"/>
    </row>
    <row r="18" spans="1:15" x14ac:dyDescent="0.2">
      <c r="A18" t="s">
        <v>15</v>
      </c>
      <c r="B18">
        <v>11</v>
      </c>
      <c r="C18" s="3">
        <v>836554.97597225686</v>
      </c>
      <c r="D18" s="3">
        <v>631924.25216745108</v>
      </c>
      <c r="E18" s="3">
        <v>204630.72380480549</v>
      </c>
      <c r="F18" s="4">
        <v>0.755</v>
      </c>
      <c r="G18" s="4">
        <v>0.245</v>
      </c>
      <c r="K18">
        <v>4</v>
      </c>
      <c r="L18" s="3">
        <v>1401138.8084220961</v>
      </c>
      <c r="M18">
        <v>6</v>
      </c>
      <c r="N18" s="3">
        <v>535623.74176368595</v>
      </c>
    </row>
    <row r="19" spans="1:15" x14ac:dyDescent="0.2">
      <c r="K19">
        <v>5</v>
      </c>
      <c r="L19" s="3">
        <v>720021.4243993063</v>
      </c>
      <c r="M19">
        <v>4</v>
      </c>
      <c r="N19" s="3">
        <v>405983.78404756001</v>
      </c>
      <c r="O19" s="14"/>
    </row>
    <row r="20" spans="1:15" x14ac:dyDescent="0.2">
      <c r="K20">
        <v>2</v>
      </c>
      <c r="L20" s="3">
        <v>191614.16431756251</v>
      </c>
      <c r="M20">
        <v>5</v>
      </c>
      <c r="N20" s="3">
        <v>366790.56149368337</v>
      </c>
      <c r="O20" s="14"/>
    </row>
    <row r="21" spans="1:15" ht="17" x14ac:dyDescent="0.2">
      <c r="A21" s="15" t="s">
        <v>31</v>
      </c>
      <c r="B21" s="6"/>
      <c r="C21" s="6"/>
      <c r="D21" s="6"/>
      <c r="E21" s="6"/>
      <c r="F21" s="6"/>
      <c r="K21">
        <v>5</v>
      </c>
      <c r="L21" s="3">
        <v>685597.50348030718</v>
      </c>
      <c r="M21">
        <v>1</v>
      </c>
      <c r="N21" s="3">
        <v>40238.318132276443</v>
      </c>
      <c r="O21" s="14"/>
    </row>
    <row r="22" spans="1:15" x14ac:dyDescent="0.2">
      <c r="A22" s="16" t="s">
        <v>1</v>
      </c>
      <c r="B22" s="16" t="s">
        <v>25</v>
      </c>
      <c r="C22" s="16" t="s">
        <v>32</v>
      </c>
      <c r="D22" s="16" t="s">
        <v>3</v>
      </c>
      <c r="E22" s="16" t="s">
        <v>26</v>
      </c>
      <c r="F22" s="16" t="s">
        <v>33</v>
      </c>
      <c r="K22">
        <v>3</v>
      </c>
      <c r="L22" s="3">
        <v>548171.91561803326</v>
      </c>
      <c r="M22">
        <v>8</v>
      </c>
      <c r="N22" s="3">
        <v>288383.06035422342</v>
      </c>
    </row>
    <row r="23" spans="1:15" x14ac:dyDescent="0.2">
      <c r="A23" t="s">
        <v>11</v>
      </c>
      <c r="B23" t="s">
        <v>28</v>
      </c>
      <c r="C23" t="s">
        <v>34</v>
      </c>
      <c r="D23" s="3">
        <v>1105197.858954669</v>
      </c>
      <c r="E23" s="3">
        <v>1102926.34644538</v>
      </c>
      <c r="F23" t="s">
        <v>35</v>
      </c>
      <c r="O23" s="3"/>
    </row>
    <row r="24" spans="1:15" x14ac:dyDescent="0.2">
      <c r="A24" t="s">
        <v>12</v>
      </c>
      <c r="B24" t="s">
        <v>28</v>
      </c>
      <c r="C24" t="s">
        <v>36</v>
      </c>
      <c r="D24" s="3">
        <v>316851.19542977453</v>
      </c>
      <c r="E24" s="3">
        <v>305229.46342581132</v>
      </c>
      <c r="F24" t="s">
        <v>37</v>
      </c>
      <c r="O24" s="3"/>
    </row>
    <row r="25" spans="1:15" x14ac:dyDescent="0.2">
      <c r="A25" t="s">
        <v>10</v>
      </c>
      <c r="B25" t="s">
        <v>28</v>
      </c>
      <c r="C25" t="s">
        <v>38</v>
      </c>
      <c r="D25" s="3">
        <v>285168.45504087192</v>
      </c>
      <c r="E25" s="3">
        <v>284647.04007926682</v>
      </c>
      <c r="F25" t="s">
        <v>35</v>
      </c>
    </row>
    <row r="26" spans="1:15" x14ac:dyDescent="0.2">
      <c r="A26" t="s">
        <v>15</v>
      </c>
      <c r="B26" t="s">
        <v>28</v>
      </c>
      <c r="C26" t="s">
        <v>39</v>
      </c>
      <c r="D26" s="3">
        <v>311349.47530344309</v>
      </c>
      <c r="E26" s="3">
        <v>247314.43989348519</v>
      </c>
      <c r="F26" t="s">
        <v>40</v>
      </c>
    </row>
    <row r="27" spans="1:15" x14ac:dyDescent="0.2">
      <c r="A27" t="s">
        <v>12</v>
      </c>
      <c r="B27" t="s">
        <v>29</v>
      </c>
      <c r="C27" t="s">
        <v>41</v>
      </c>
      <c r="D27" s="3">
        <v>213363.64414168941</v>
      </c>
      <c r="E27" s="3">
        <v>213363.64414168941</v>
      </c>
      <c r="F27" t="s">
        <v>42</v>
      </c>
    </row>
    <row r="28" spans="1:15" x14ac:dyDescent="0.2">
      <c r="A28" t="s">
        <v>11</v>
      </c>
      <c r="B28" t="s">
        <v>28</v>
      </c>
      <c r="C28" t="s">
        <v>43</v>
      </c>
      <c r="D28" s="3">
        <v>211762.84575179589</v>
      </c>
      <c r="E28" s="3">
        <v>211762.84575179589</v>
      </c>
      <c r="F28" t="s">
        <v>42</v>
      </c>
    </row>
    <row r="29" spans="1:15" x14ac:dyDescent="0.2">
      <c r="A29" t="s">
        <v>15</v>
      </c>
      <c r="B29" t="s">
        <v>28</v>
      </c>
      <c r="C29" t="s">
        <v>44</v>
      </c>
      <c r="D29" s="3">
        <v>209842.21776071339</v>
      </c>
      <c r="E29" s="3">
        <v>209842.21776071339</v>
      </c>
      <c r="F29" t="s">
        <v>42</v>
      </c>
    </row>
    <row r="30" spans="1:15" x14ac:dyDescent="0.2">
      <c r="A30" t="s">
        <v>13</v>
      </c>
      <c r="B30" t="s">
        <v>29</v>
      </c>
      <c r="C30" t="s">
        <v>45</v>
      </c>
      <c r="D30" s="3">
        <v>207867.22509289079</v>
      </c>
      <c r="E30" s="3">
        <v>207867.22509289079</v>
      </c>
      <c r="F30" t="s">
        <v>42</v>
      </c>
    </row>
    <row r="31" spans="1:15" x14ac:dyDescent="0.2">
      <c r="A31" t="s">
        <v>12</v>
      </c>
      <c r="B31" t="s">
        <v>28</v>
      </c>
      <c r="C31" t="s">
        <v>46</v>
      </c>
      <c r="D31" s="3">
        <v>177803.0367847411</v>
      </c>
      <c r="E31" s="3">
        <v>177803.0367847411</v>
      </c>
      <c r="F31" t="s">
        <v>42</v>
      </c>
    </row>
    <row r="32" spans="1:15" x14ac:dyDescent="0.2">
      <c r="A32" t="s">
        <v>13</v>
      </c>
      <c r="B32" t="s">
        <v>28</v>
      </c>
      <c r="C32" t="s">
        <v>47</v>
      </c>
      <c r="D32" s="3">
        <v>173775.70723309391</v>
      </c>
      <c r="E32" s="3">
        <v>173775.70723309391</v>
      </c>
      <c r="F32" t="s">
        <v>42</v>
      </c>
    </row>
    <row r="33" spans="1:6" x14ac:dyDescent="0.2">
      <c r="A33" t="s">
        <v>8</v>
      </c>
      <c r="B33" t="s">
        <v>28</v>
      </c>
      <c r="C33" t="s">
        <v>48</v>
      </c>
      <c r="D33" s="3">
        <v>148838.28678474121</v>
      </c>
      <c r="E33" s="3">
        <v>148838.28678474121</v>
      </c>
      <c r="F33" t="s">
        <v>42</v>
      </c>
    </row>
    <row r="34" spans="1:6" x14ac:dyDescent="0.2">
      <c r="A34" t="s">
        <v>10</v>
      </c>
      <c r="B34" t="s">
        <v>29</v>
      </c>
      <c r="C34" t="s">
        <v>49</v>
      </c>
      <c r="D34" s="3">
        <v>136221.55575922711</v>
      </c>
      <c r="E34" s="3">
        <v>136221.55575922711</v>
      </c>
      <c r="F34" t="s">
        <v>42</v>
      </c>
    </row>
    <row r="35" spans="1:6" x14ac:dyDescent="0.2">
      <c r="A35" t="s">
        <v>11</v>
      </c>
      <c r="B35" t="s">
        <v>29</v>
      </c>
      <c r="C35" t="s">
        <v>50</v>
      </c>
      <c r="D35" s="3">
        <v>134137.18196680711</v>
      </c>
      <c r="E35" s="3">
        <v>133821.57277681449</v>
      </c>
      <c r="F35" t="s">
        <v>35</v>
      </c>
    </row>
    <row r="36" spans="1:6" x14ac:dyDescent="0.2">
      <c r="A36" t="s">
        <v>12</v>
      </c>
      <c r="B36" t="s">
        <v>28</v>
      </c>
      <c r="C36" t="s">
        <v>51</v>
      </c>
      <c r="D36" s="3">
        <v>133352.82775575921</v>
      </c>
      <c r="E36" s="3">
        <v>133352.82775575921</v>
      </c>
      <c r="F36" t="s">
        <v>42</v>
      </c>
    </row>
    <row r="37" spans="1:6" x14ac:dyDescent="0.2">
      <c r="A37" t="s">
        <v>8</v>
      </c>
      <c r="B37" t="s">
        <v>28</v>
      </c>
      <c r="C37" t="s">
        <v>52</v>
      </c>
      <c r="D37" s="3">
        <v>128803.36171662129</v>
      </c>
      <c r="E37" s="3">
        <v>128803.36171662129</v>
      </c>
      <c r="F37" t="s">
        <v>42</v>
      </c>
    </row>
    <row r="38" spans="1:6" x14ac:dyDescent="0.2">
      <c r="A38" t="s">
        <v>10</v>
      </c>
      <c r="B38" t="s">
        <v>28</v>
      </c>
      <c r="C38" t="s">
        <v>53</v>
      </c>
      <c r="D38" s="3">
        <v>128455.6164973991</v>
      </c>
      <c r="E38" s="3">
        <v>128455.6164973991</v>
      </c>
      <c r="F38" t="s">
        <v>42</v>
      </c>
    </row>
    <row r="39" spans="1:6" x14ac:dyDescent="0.2">
      <c r="A39" t="s">
        <v>8</v>
      </c>
      <c r="B39" t="s">
        <v>29</v>
      </c>
      <c r="C39" t="s">
        <v>54</v>
      </c>
      <c r="D39" s="3">
        <v>129022.6294277929</v>
      </c>
      <c r="E39" s="3">
        <v>128394.4856948229</v>
      </c>
      <c r="F39" t="s">
        <v>55</v>
      </c>
    </row>
    <row r="40" spans="1:6" x14ac:dyDescent="0.2">
      <c r="A40" t="s">
        <v>11</v>
      </c>
      <c r="B40" t="s">
        <v>29</v>
      </c>
      <c r="C40" t="s">
        <v>56</v>
      </c>
      <c r="D40" s="3">
        <v>125902.9491206341</v>
      </c>
      <c r="E40" s="3">
        <v>125902.9491206341</v>
      </c>
      <c r="F40" t="s">
        <v>42</v>
      </c>
    </row>
    <row r="41" spans="1:6" x14ac:dyDescent="0.2">
      <c r="A41" t="s">
        <v>11</v>
      </c>
      <c r="B41" t="s">
        <v>29</v>
      </c>
      <c r="C41" t="s">
        <v>57</v>
      </c>
      <c r="D41" s="3">
        <v>110759.1683675997</v>
      </c>
      <c r="E41" s="3">
        <v>110759.1683675997</v>
      </c>
      <c r="F41" t="s">
        <v>42</v>
      </c>
    </row>
    <row r="42" spans="1:6" x14ac:dyDescent="0.2">
      <c r="A42" t="s">
        <v>10</v>
      </c>
      <c r="B42" t="s">
        <v>28</v>
      </c>
      <c r="C42" t="s">
        <v>58</v>
      </c>
      <c r="D42" s="3">
        <v>113673.88174386921</v>
      </c>
      <c r="E42" s="3">
        <v>109060.2807530344</v>
      </c>
      <c r="F42" t="s">
        <v>59</v>
      </c>
    </row>
    <row r="43" spans="1:6" x14ac:dyDescent="0.2">
      <c r="A43" t="s">
        <v>11</v>
      </c>
      <c r="B43" t="s">
        <v>29</v>
      </c>
      <c r="C43" t="s">
        <v>60</v>
      </c>
      <c r="D43" s="3">
        <v>106103.6597968789</v>
      </c>
      <c r="E43" s="3">
        <v>104839.0388902651</v>
      </c>
      <c r="F43" t="s">
        <v>61</v>
      </c>
    </row>
    <row r="44" spans="1:6" x14ac:dyDescent="0.2">
      <c r="A44" t="s">
        <v>12</v>
      </c>
      <c r="B44" t="s">
        <v>29</v>
      </c>
      <c r="C44" t="s">
        <v>62</v>
      </c>
      <c r="D44" s="3">
        <v>102236.4710676245</v>
      </c>
      <c r="E44" s="3">
        <v>102236.4710676245</v>
      </c>
      <c r="F44" t="s">
        <v>42</v>
      </c>
    </row>
    <row r="45" spans="1:6" x14ac:dyDescent="0.2">
      <c r="A45" t="s">
        <v>8</v>
      </c>
      <c r="B45" t="s">
        <v>29</v>
      </c>
      <c r="C45" t="s">
        <v>63</v>
      </c>
      <c r="D45" s="3">
        <v>100815.48024523161</v>
      </c>
      <c r="E45" s="3">
        <v>100732.8576294278</v>
      </c>
      <c r="F45" t="s">
        <v>64</v>
      </c>
    </row>
    <row r="46" spans="1:6" x14ac:dyDescent="0.2">
      <c r="A46" t="s">
        <v>10</v>
      </c>
      <c r="B46" t="s">
        <v>29</v>
      </c>
      <c r="C46" t="s">
        <v>65</v>
      </c>
      <c r="D46" s="3">
        <v>93573.931186524642</v>
      </c>
      <c r="E46" s="3">
        <v>93573.931186524642</v>
      </c>
      <c r="F46" t="s">
        <v>42</v>
      </c>
    </row>
    <row r="47" spans="1:6" x14ac:dyDescent="0.2">
      <c r="A47" t="s">
        <v>10</v>
      </c>
      <c r="B47" t="s">
        <v>28</v>
      </c>
      <c r="C47" t="s">
        <v>66</v>
      </c>
      <c r="D47" s="3">
        <v>87583.621253406003</v>
      </c>
      <c r="E47" s="3">
        <v>87583.621253406003</v>
      </c>
      <c r="F47" t="s">
        <v>42</v>
      </c>
    </row>
    <row r="48" spans="1:6" x14ac:dyDescent="0.2">
      <c r="A48" t="s">
        <v>12</v>
      </c>
      <c r="B48" t="s">
        <v>29</v>
      </c>
      <c r="C48" t="s">
        <v>67</v>
      </c>
      <c r="D48" s="3">
        <v>71121.21471389645</v>
      </c>
      <c r="E48" s="3">
        <v>71121.21471389645</v>
      </c>
      <c r="F48" t="s">
        <v>42</v>
      </c>
    </row>
    <row r="49" spans="1:6" x14ac:dyDescent="0.2">
      <c r="A49" t="s">
        <v>8</v>
      </c>
      <c r="B49" t="s">
        <v>29</v>
      </c>
      <c r="C49" t="s">
        <v>68</v>
      </c>
      <c r="D49" s="3">
        <v>68466.607629427803</v>
      </c>
      <c r="E49" s="3">
        <v>68466.607629427803</v>
      </c>
      <c r="F49" t="s">
        <v>42</v>
      </c>
    </row>
    <row r="50" spans="1:6" x14ac:dyDescent="0.2">
      <c r="A50" t="s">
        <v>11</v>
      </c>
      <c r="B50" t="s">
        <v>28</v>
      </c>
      <c r="C50" t="s">
        <v>69</v>
      </c>
      <c r="D50" s="3">
        <v>67649.573990587072</v>
      </c>
      <c r="E50" s="3">
        <v>67649.573990587072</v>
      </c>
      <c r="F50" t="s">
        <v>42</v>
      </c>
    </row>
    <row r="51" spans="1:6" x14ac:dyDescent="0.2">
      <c r="A51" t="s">
        <v>9</v>
      </c>
      <c r="B51" t="s">
        <v>29</v>
      </c>
      <c r="C51" t="s">
        <v>70</v>
      </c>
      <c r="D51" s="3">
        <v>64318.518702006448</v>
      </c>
      <c r="E51" s="3">
        <v>64318.518702006448</v>
      </c>
      <c r="F51" t="s">
        <v>42</v>
      </c>
    </row>
    <row r="52" spans="1:6" x14ac:dyDescent="0.2">
      <c r="A52" t="s">
        <v>12</v>
      </c>
      <c r="B52" t="s">
        <v>28</v>
      </c>
      <c r="C52" t="s">
        <v>71</v>
      </c>
      <c r="D52" s="3">
        <v>59119.867339608609</v>
      </c>
      <c r="E52" s="3">
        <v>59119.867339608609</v>
      </c>
      <c r="F52" t="s">
        <v>42</v>
      </c>
    </row>
    <row r="53" spans="1:6" x14ac:dyDescent="0.2">
      <c r="A53" t="s">
        <v>9</v>
      </c>
      <c r="B53" t="s">
        <v>28</v>
      </c>
      <c r="C53" t="s">
        <v>72</v>
      </c>
      <c r="D53" s="3">
        <v>51456.088679712659</v>
      </c>
      <c r="E53" s="3">
        <v>51456.088679712659</v>
      </c>
      <c r="F53" t="s">
        <v>42</v>
      </c>
    </row>
    <row r="54" spans="1:6" x14ac:dyDescent="0.2">
      <c r="A54" t="s">
        <v>8</v>
      </c>
      <c r="B54" t="s">
        <v>29</v>
      </c>
      <c r="C54" t="s">
        <v>73</v>
      </c>
      <c r="D54" s="3">
        <v>51405.037465940062</v>
      </c>
      <c r="E54" s="3">
        <v>51405.037465940062</v>
      </c>
      <c r="F54" t="s">
        <v>42</v>
      </c>
    </row>
    <row r="55" spans="1:6" x14ac:dyDescent="0.2">
      <c r="A55" t="s">
        <v>15</v>
      </c>
      <c r="B55" t="s">
        <v>29</v>
      </c>
      <c r="C55" t="s">
        <v>74</v>
      </c>
      <c r="D55" s="3">
        <v>47750.50816200149</v>
      </c>
      <c r="E55" s="3">
        <v>45802.598204111957</v>
      </c>
      <c r="F55" t="s">
        <v>59</v>
      </c>
    </row>
    <row r="56" spans="1:6" x14ac:dyDescent="0.2">
      <c r="A56" t="s">
        <v>13</v>
      </c>
      <c r="B56" t="s">
        <v>29</v>
      </c>
      <c r="C56" t="s">
        <v>75</v>
      </c>
      <c r="D56" s="3">
        <v>45771.996631161754</v>
      </c>
      <c r="E56" s="3">
        <v>45771.996631161754</v>
      </c>
      <c r="F56" t="s">
        <v>42</v>
      </c>
    </row>
    <row r="57" spans="1:6" x14ac:dyDescent="0.2">
      <c r="A57" t="s">
        <v>8</v>
      </c>
      <c r="B57" t="s">
        <v>29</v>
      </c>
      <c r="C57" t="s">
        <v>76</v>
      </c>
      <c r="D57" s="3">
        <v>45644.75817438693</v>
      </c>
      <c r="E57" s="3">
        <v>45644.75817438693</v>
      </c>
      <c r="F57" t="s">
        <v>42</v>
      </c>
    </row>
    <row r="58" spans="1:6" x14ac:dyDescent="0.2">
      <c r="A58" t="s">
        <v>14</v>
      </c>
      <c r="B58" t="s">
        <v>28</v>
      </c>
      <c r="C58" t="s">
        <v>77</v>
      </c>
      <c r="D58" s="3">
        <v>44709.488308149623</v>
      </c>
      <c r="E58" s="3">
        <v>44709.488308149623</v>
      </c>
      <c r="F58" t="s">
        <v>42</v>
      </c>
    </row>
    <row r="59" spans="1:6" x14ac:dyDescent="0.2">
      <c r="A59" t="s">
        <v>14</v>
      </c>
      <c r="B59" t="s">
        <v>29</v>
      </c>
      <c r="C59" t="s">
        <v>78</v>
      </c>
      <c r="D59" s="3">
        <v>40238.318132276443</v>
      </c>
      <c r="E59" s="3">
        <v>40238.318132276443</v>
      </c>
      <c r="F59" t="s">
        <v>42</v>
      </c>
    </row>
    <row r="60" spans="1:6" x14ac:dyDescent="0.2">
      <c r="A60" t="s">
        <v>13</v>
      </c>
      <c r="B60" t="s">
        <v>29</v>
      </c>
      <c r="C60" t="s">
        <v>79</v>
      </c>
      <c r="D60" s="3">
        <v>35531.787738419633</v>
      </c>
      <c r="E60" s="3">
        <v>35531.787738419633</v>
      </c>
      <c r="F60" t="s">
        <v>42</v>
      </c>
    </row>
    <row r="61" spans="1:6" x14ac:dyDescent="0.2">
      <c r="A61" t="s">
        <v>14</v>
      </c>
      <c r="B61" t="s">
        <v>28</v>
      </c>
      <c r="C61" t="s">
        <v>80</v>
      </c>
      <c r="D61" s="3">
        <v>534186.416410701</v>
      </c>
      <c r="E61" s="3">
        <v>33382.154954173893</v>
      </c>
      <c r="F61" t="s">
        <v>81</v>
      </c>
    </row>
    <row r="62" spans="1:6" x14ac:dyDescent="0.2">
      <c r="A62" t="s">
        <v>12</v>
      </c>
      <c r="B62" t="s">
        <v>28</v>
      </c>
      <c r="C62" t="s">
        <v>82</v>
      </c>
      <c r="D62" s="3">
        <v>32894.497089422839</v>
      </c>
      <c r="E62" s="3">
        <v>32894.497089422839</v>
      </c>
      <c r="F62" t="s">
        <v>42</v>
      </c>
    </row>
    <row r="63" spans="1:6" x14ac:dyDescent="0.2">
      <c r="A63" t="s">
        <v>8</v>
      </c>
      <c r="B63" t="s">
        <v>29</v>
      </c>
      <c r="C63" t="s">
        <v>83</v>
      </c>
      <c r="D63" s="3">
        <v>32093.58991825613</v>
      </c>
      <c r="E63" s="3">
        <v>32093.58991825613</v>
      </c>
      <c r="F63" t="s">
        <v>42</v>
      </c>
    </row>
    <row r="64" spans="1:6" x14ac:dyDescent="0.2">
      <c r="A64" t="s">
        <v>11</v>
      </c>
      <c r="B64" t="s">
        <v>29</v>
      </c>
      <c r="C64" t="s">
        <v>84</v>
      </c>
      <c r="D64" s="3">
        <v>32074.19346049046</v>
      </c>
      <c r="E64" s="3">
        <v>32074.19346049046</v>
      </c>
      <c r="F64" t="s">
        <v>42</v>
      </c>
    </row>
    <row r="65" spans="1:6" x14ac:dyDescent="0.2">
      <c r="A65" t="s">
        <v>10</v>
      </c>
      <c r="B65" t="s">
        <v>29</v>
      </c>
      <c r="C65" t="s">
        <v>85</v>
      </c>
      <c r="D65" s="3">
        <v>28265.89422838742</v>
      </c>
      <c r="E65" s="3">
        <v>28265.89422838742</v>
      </c>
      <c r="F65" t="s">
        <v>42</v>
      </c>
    </row>
    <row r="66" spans="1:6" x14ac:dyDescent="0.2">
      <c r="A66" t="s">
        <v>13</v>
      </c>
      <c r="B66" t="s">
        <v>29</v>
      </c>
      <c r="C66" t="s">
        <v>86</v>
      </c>
      <c r="D66" s="3">
        <v>27282.669494674268</v>
      </c>
      <c r="E66" s="3">
        <v>27282.669494674268</v>
      </c>
      <c r="F66" t="s">
        <v>42</v>
      </c>
    </row>
    <row r="67" spans="1:6" x14ac:dyDescent="0.2">
      <c r="A67" t="s">
        <v>15</v>
      </c>
      <c r="B67" t="s">
        <v>28</v>
      </c>
      <c r="C67" t="s">
        <v>87</v>
      </c>
      <c r="D67" s="3">
        <v>26980.22255387664</v>
      </c>
      <c r="E67" s="3">
        <v>26980.22255387664</v>
      </c>
      <c r="F67" t="s">
        <v>42</v>
      </c>
    </row>
    <row r="68" spans="1:6" x14ac:dyDescent="0.2">
      <c r="A68" t="s">
        <v>15</v>
      </c>
      <c r="B68" t="s">
        <v>29</v>
      </c>
      <c r="C68" t="s">
        <v>88</v>
      </c>
      <c r="D68" s="3">
        <v>26980.22255387664</v>
      </c>
      <c r="E68" s="3">
        <v>26980.22255387664</v>
      </c>
      <c r="F68" t="s">
        <v>42</v>
      </c>
    </row>
    <row r="69" spans="1:6" x14ac:dyDescent="0.2">
      <c r="A69" t="s">
        <v>15</v>
      </c>
      <c r="B69" t="s">
        <v>29</v>
      </c>
      <c r="C69" t="s">
        <v>89</v>
      </c>
      <c r="D69" s="3">
        <v>26980.22255387664</v>
      </c>
      <c r="E69" s="3">
        <v>26980.22255387664</v>
      </c>
      <c r="F69" t="s">
        <v>42</v>
      </c>
    </row>
    <row r="70" spans="1:6" x14ac:dyDescent="0.2">
      <c r="A70" t="s">
        <v>14</v>
      </c>
      <c r="B70" t="s">
        <v>28</v>
      </c>
      <c r="C70" t="s">
        <v>90</v>
      </c>
      <c r="D70" s="3">
        <v>23696.095206836759</v>
      </c>
      <c r="E70" s="3">
        <v>23696.095206836759</v>
      </c>
      <c r="F70" t="s">
        <v>42</v>
      </c>
    </row>
    <row r="71" spans="1:6" x14ac:dyDescent="0.2">
      <c r="A71" t="s">
        <v>13</v>
      </c>
      <c r="B71" t="s">
        <v>29</v>
      </c>
      <c r="C71" t="s">
        <v>91</v>
      </c>
      <c r="D71" s="3">
        <v>50336.882536537028</v>
      </c>
      <c r="E71" s="3">
        <v>23687.492011394599</v>
      </c>
      <c r="F71" t="s">
        <v>92</v>
      </c>
    </row>
    <row r="72" spans="1:6" x14ac:dyDescent="0.2">
      <c r="A72" t="s">
        <v>11</v>
      </c>
      <c r="B72" t="s">
        <v>29</v>
      </c>
      <c r="C72" t="s">
        <v>93</v>
      </c>
      <c r="D72" s="3">
        <v>26646.5890512757</v>
      </c>
      <c r="E72" s="3">
        <v>22234.61283131038</v>
      </c>
      <c r="F72" t="s">
        <v>94</v>
      </c>
    </row>
    <row r="73" spans="1:6" x14ac:dyDescent="0.2">
      <c r="A73" t="s">
        <v>15</v>
      </c>
      <c r="B73" t="s">
        <v>29</v>
      </c>
      <c r="C73" t="s">
        <v>95</v>
      </c>
      <c r="D73" s="3">
        <v>21493.795021055241</v>
      </c>
      <c r="E73" s="3">
        <v>21493.795021055241</v>
      </c>
      <c r="F73" t="s">
        <v>42</v>
      </c>
    </row>
    <row r="74" spans="1:6" x14ac:dyDescent="0.2">
      <c r="A74" t="s">
        <v>8</v>
      </c>
      <c r="B74" t="s">
        <v>28</v>
      </c>
      <c r="C74" t="s">
        <v>96</v>
      </c>
      <c r="D74" s="3">
        <v>170578.62738419621</v>
      </c>
      <c r="E74" s="3">
        <v>20540.194141689379</v>
      </c>
      <c r="F74" t="s">
        <v>97</v>
      </c>
    </row>
    <row r="75" spans="1:6" x14ac:dyDescent="0.2">
      <c r="A75" t="s">
        <v>15</v>
      </c>
      <c r="B75" t="s">
        <v>29</v>
      </c>
      <c r="C75" t="s">
        <v>98</v>
      </c>
      <c r="D75" s="3">
        <v>20234.888642556351</v>
      </c>
      <c r="E75" s="3">
        <v>20234.888642556351</v>
      </c>
      <c r="F75" t="s">
        <v>42</v>
      </c>
    </row>
    <row r="76" spans="1:6" x14ac:dyDescent="0.2">
      <c r="A76" t="s">
        <v>10</v>
      </c>
      <c r="B76" t="s">
        <v>28</v>
      </c>
      <c r="C76" t="s">
        <v>99</v>
      </c>
      <c r="D76" s="3">
        <v>19268.50507802824</v>
      </c>
      <c r="E76" s="3">
        <v>19268.50507802824</v>
      </c>
      <c r="F76" t="s">
        <v>42</v>
      </c>
    </row>
    <row r="77" spans="1:6" x14ac:dyDescent="0.2">
      <c r="A77" t="s">
        <v>12</v>
      </c>
      <c r="B77" t="s">
        <v>29</v>
      </c>
      <c r="C77" t="s">
        <v>100</v>
      </c>
      <c r="D77" s="3">
        <v>19262.454124349759</v>
      </c>
      <c r="E77" s="3">
        <v>19262.454124349759</v>
      </c>
      <c r="F77" t="s">
        <v>42</v>
      </c>
    </row>
    <row r="78" spans="1:6" x14ac:dyDescent="0.2">
      <c r="A78" t="s">
        <v>13</v>
      </c>
      <c r="B78" t="s">
        <v>28</v>
      </c>
      <c r="C78" t="s">
        <v>101</v>
      </c>
      <c r="D78" s="3">
        <v>17838.45708446866</v>
      </c>
      <c r="E78" s="3">
        <v>17838.45708446866</v>
      </c>
      <c r="F78" t="s">
        <v>42</v>
      </c>
    </row>
    <row r="79" spans="1:6" x14ac:dyDescent="0.2">
      <c r="A79" t="s">
        <v>14</v>
      </c>
      <c r="B79" t="s">
        <v>28</v>
      </c>
      <c r="C79" t="s">
        <v>102</v>
      </c>
      <c r="D79" s="3">
        <v>11922.75156056478</v>
      </c>
      <c r="E79" s="3">
        <v>11922.75156056478</v>
      </c>
      <c r="F79" t="s">
        <v>42</v>
      </c>
    </row>
    <row r="80" spans="1:6" x14ac:dyDescent="0.2">
      <c r="A80" t="s">
        <v>15</v>
      </c>
      <c r="B80" t="s">
        <v>29</v>
      </c>
      <c r="C80" t="s">
        <v>103</v>
      </c>
      <c r="D80" s="3">
        <v>10272.720572207079</v>
      </c>
      <c r="E80" s="3">
        <v>6295.6449838989338</v>
      </c>
      <c r="F80" t="s">
        <v>104</v>
      </c>
    </row>
    <row r="81" spans="1:6" x14ac:dyDescent="0.2">
      <c r="A81" t="s">
        <v>11</v>
      </c>
      <c r="B81" t="s">
        <v>28</v>
      </c>
      <c r="C81" t="s">
        <v>105</v>
      </c>
      <c r="D81" s="3">
        <v>16528.52972504335</v>
      </c>
      <c r="E81" s="3">
        <v>0</v>
      </c>
      <c r="F81" t="s">
        <v>106</v>
      </c>
    </row>
    <row r="82" spans="1:6" x14ac:dyDescent="0.2">
      <c r="A82" t="s">
        <v>8</v>
      </c>
      <c r="B82" t="s">
        <v>28</v>
      </c>
      <c r="C82" t="s">
        <v>107</v>
      </c>
      <c r="D82" s="3">
        <v>58941.702997275213</v>
      </c>
      <c r="E82" s="3">
        <v>0</v>
      </c>
      <c r="F82" t="s">
        <v>106</v>
      </c>
    </row>
    <row r="83" spans="1:6" x14ac:dyDescent="0.2">
      <c r="A83" t="s">
        <v>14</v>
      </c>
      <c r="B83" t="s">
        <v>28</v>
      </c>
      <c r="C83" t="s">
        <v>108</v>
      </c>
      <c r="D83" s="3">
        <v>71082.751994054997</v>
      </c>
      <c r="E83" s="3">
        <v>0</v>
      </c>
      <c r="F83" t="s">
        <v>106</v>
      </c>
    </row>
    <row r="84" spans="1:6" x14ac:dyDescent="0.2">
      <c r="A84" t="s">
        <v>15</v>
      </c>
      <c r="B84" t="s">
        <v>29</v>
      </c>
      <c r="C84" t="s">
        <v>109</v>
      </c>
      <c r="D84" s="3">
        <v>49992.274250681199</v>
      </c>
      <c r="E84" s="3">
        <v>0</v>
      </c>
      <c r="F84" t="s">
        <v>106</v>
      </c>
    </row>
    <row r="85" spans="1:6" x14ac:dyDescent="0.2">
      <c r="A85" t="s">
        <v>15</v>
      </c>
      <c r="B85" t="s">
        <v>29</v>
      </c>
      <c r="C85" t="s">
        <v>110</v>
      </c>
      <c r="D85" s="3">
        <v>84678.428597968785</v>
      </c>
      <c r="E85" s="3">
        <v>0</v>
      </c>
      <c r="F85" t="s">
        <v>106</v>
      </c>
    </row>
    <row r="86" spans="1:6" x14ac:dyDescent="0.2">
      <c r="A86" t="s">
        <v>10</v>
      </c>
      <c r="B86" t="s">
        <v>29</v>
      </c>
      <c r="C86" t="s">
        <v>111</v>
      </c>
      <c r="D86" s="3">
        <v>10634.26356205103</v>
      </c>
      <c r="E86" s="3">
        <v>0</v>
      </c>
      <c r="F86" t="s">
        <v>106</v>
      </c>
    </row>
    <row r="88" spans="1:6" ht="17" x14ac:dyDescent="0.2">
      <c r="A88" s="15" t="s">
        <v>112</v>
      </c>
      <c r="B88" s="6"/>
      <c r="C88" s="6"/>
      <c r="D88" s="6"/>
      <c r="E88" s="6"/>
      <c r="F88" s="6"/>
    </row>
    <row r="89" spans="1:6" x14ac:dyDescent="0.2">
      <c r="A89" s="16" t="s">
        <v>1</v>
      </c>
      <c r="B89" s="16" t="s">
        <v>25</v>
      </c>
      <c r="C89" s="16" t="s">
        <v>32</v>
      </c>
      <c r="D89" s="16" t="s">
        <v>3</v>
      </c>
      <c r="E89" s="16" t="s">
        <v>27</v>
      </c>
      <c r="F89" s="16" t="s">
        <v>113</v>
      </c>
    </row>
    <row r="90" spans="1:6" x14ac:dyDescent="0.2">
      <c r="A90" t="s">
        <v>14</v>
      </c>
      <c r="B90" t="s">
        <v>28</v>
      </c>
      <c r="C90" t="s">
        <v>80</v>
      </c>
      <c r="D90" s="3">
        <v>534186.416410701</v>
      </c>
      <c r="E90" s="3">
        <v>500804.26145652711</v>
      </c>
      <c r="F90" t="s">
        <v>114</v>
      </c>
    </row>
    <row r="91" spans="1:6" x14ac:dyDescent="0.2">
      <c r="A91" t="s">
        <v>8</v>
      </c>
      <c r="B91" t="s">
        <v>28</v>
      </c>
      <c r="C91" t="s">
        <v>96</v>
      </c>
      <c r="D91" s="3">
        <v>170578.62738419621</v>
      </c>
      <c r="E91" s="3">
        <v>150038.43324250681</v>
      </c>
      <c r="F91" t="s">
        <v>115</v>
      </c>
    </row>
    <row r="92" spans="1:6" x14ac:dyDescent="0.2">
      <c r="A92" t="s">
        <v>15</v>
      </c>
      <c r="B92" t="s">
        <v>29</v>
      </c>
      <c r="C92" t="s">
        <v>110</v>
      </c>
      <c r="D92" s="3">
        <v>84678.428597968785</v>
      </c>
      <c r="E92" s="3">
        <v>84678.428597968785</v>
      </c>
      <c r="F92" t="s">
        <v>42</v>
      </c>
    </row>
    <row r="93" spans="1:6" x14ac:dyDescent="0.2">
      <c r="A93" t="s">
        <v>14</v>
      </c>
      <c r="B93" t="s">
        <v>28</v>
      </c>
      <c r="C93" t="s">
        <v>108</v>
      </c>
      <c r="D93" s="3">
        <v>71082.751994054997</v>
      </c>
      <c r="E93" s="3">
        <v>71082.751994054997</v>
      </c>
      <c r="F93" t="s">
        <v>42</v>
      </c>
    </row>
    <row r="94" spans="1:6" x14ac:dyDescent="0.2">
      <c r="A94" t="s">
        <v>15</v>
      </c>
      <c r="B94" t="s">
        <v>28</v>
      </c>
      <c r="C94" t="s">
        <v>39</v>
      </c>
      <c r="D94" s="3">
        <v>311349.47530344309</v>
      </c>
      <c r="E94" s="3">
        <v>64035.035409957891</v>
      </c>
      <c r="F94" t="s">
        <v>116</v>
      </c>
    </row>
    <row r="95" spans="1:6" x14ac:dyDescent="0.2">
      <c r="A95" t="s">
        <v>8</v>
      </c>
      <c r="B95" t="s">
        <v>28</v>
      </c>
      <c r="C95" t="s">
        <v>107</v>
      </c>
      <c r="D95" s="3">
        <v>58941.702997275213</v>
      </c>
      <c r="E95" s="3">
        <v>58941.702997275213</v>
      </c>
      <c r="F95" t="s">
        <v>42</v>
      </c>
    </row>
    <row r="96" spans="1:6" x14ac:dyDescent="0.2">
      <c r="A96" t="s">
        <v>15</v>
      </c>
      <c r="B96" t="s">
        <v>29</v>
      </c>
      <c r="C96" t="s">
        <v>109</v>
      </c>
      <c r="D96" s="3">
        <v>49992.274250681199</v>
      </c>
      <c r="E96" s="3">
        <v>49992.274250681199</v>
      </c>
      <c r="F96" t="s">
        <v>42</v>
      </c>
    </row>
    <row r="97" spans="1:6" x14ac:dyDescent="0.2">
      <c r="A97" t="s">
        <v>13</v>
      </c>
      <c r="B97" t="s">
        <v>29</v>
      </c>
      <c r="C97" t="s">
        <v>91</v>
      </c>
      <c r="D97" s="3">
        <v>50336.882536537028</v>
      </c>
      <c r="E97" s="3">
        <v>26649.390525142429</v>
      </c>
      <c r="F97" t="s">
        <v>117</v>
      </c>
    </row>
    <row r="98" spans="1:6" x14ac:dyDescent="0.2">
      <c r="A98" t="s">
        <v>11</v>
      </c>
      <c r="B98" t="s">
        <v>28</v>
      </c>
      <c r="C98" t="s">
        <v>105</v>
      </c>
      <c r="D98" s="3">
        <v>16528.52972504335</v>
      </c>
      <c r="E98" s="3">
        <v>16528.52972504335</v>
      </c>
      <c r="F98" t="s">
        <v>42</v>
      </c>
    </row>
    <row r="99" spans="1:6" x14ac:dyDescent="0.2">
      <c r="A99" t="s">
        <v>12</v>
      </c>
      <c r="B99" t="s">
        <v>28</v>
      </c>
      <c r="C99" t="s">
        <v>36</v>
      </c>
      <c r="D99" s="3">
        <v>316851.19542977453</v>
      </c>
      <c r="E99" s="3">
        <v>11621.73200396334</v>
      </c>
      <c r="F99" t="s">
        <v>118</v>
      </c>
    </row>
    <row r="100" spans="1:6" x14ac:dyDescent="0.2">
      <c r="A100" t="s">
        <v>10</v>
      </c>
      <c r="B100" t="s">
        <v>29</v>
      </c>
      <c r="C100" t="s">
        <v>111</v>
      </c>
      <c r="D100" s="3">
        <v>10634.26356205103</v>
      </c>
      <c r="E100" s="3">
        <v>10634.26356205103</v>
      </c>
      <c r="F100" t="s">
        <v>42</v>
      </c>
    </row>
    <row r="101" spans="1:6" x14ac:dyDescent="0.2">
      <c r="A101" t="s">
        <v>10</v>
      </c>
      <c r="B101" t="s">
        <v>28</v>
      </c>
      <c r="C101" t="s">
        <v>58</v>
      </c>
      <c r="D101" s="3">
        <v>113673.88174386921</v>
      </c>
      <c r="E101" s="3">
        <v>4613.6009908347787</v>
      </c>
      <c r="F101" t="s">
        <v>119</v>
      </c>
    </row>
    <row r="102" spans="1:6" x14ac:dyDescent="0.2">
      <c r="A102" t="s">
        <v>11</v>
      </c>
      <c r="B102" t="s">
        <v>29</v>
      </c>
      <c r="C102" t="s">
        <v>93</v>
      </c>
      <c r="D102" s="3">
        <v>26646.5890512757</v>
      </c>
      <c r="E102" s="3">
        <v>4411.9762199653214</v>
      </c>
      <c r="F102" t="s">
        <v>120</v>
      </c>
    </row>
    <row r="103" spans="1:6" x14ac:dyDescent="0.2">
      <c r="A103" t="s">
        <v>15</v>
      </c>
      <c r="B103" t="s">
        <v>29</v>
      </c>
      <c r="C103" t="s">
        <v>103</v>
      </c>
      <c r="D103" s="3">
        <v>10272.720572207079</v>
      </c>
      <c r="E103" s="3">
        <v>3977.0755883081488</v>
      </c>
      <c r="F103" t="s">
        <v>121</v>
      </c>
    </row>
    <row r="104" spans="1:6" x14ac:dyDescent="0.2">
      <c r="A104" t="s">
        <v>11</v>
      </c>
      <c r="B104" t="s">
        <v>28</v>
      </c>
      <c r="C104" t="s">
        <v>34</v>
      </c>
      <c r="D104" s="3">
        <v>1105197.858954669</v>
      </c>
      <c r="E104" s="3">
        <v>2271.5125092890762</v>
      </c>
      <c r="F104" t="s">
        <v>122</v>
      </c>
    </row>
    <row r="105" spans="1:6" x14ac:dyDescent="0.2">
      <c r="A105" t="s">
        <v>15</v>
      </c>
      <c r="B105" t="s">
        <v>29</v>
      </c>
      <c r="C105" t="s">
        <v>74</v>
      </c>
      <c r="D105" s="3">
        <v>47750.50816200149</v>
      </c>
      <c r="E105" s="3">
        <v>1947.909957889522</v>
      </c>
      <c r="F105" t="s">
        <v>119</v>
      </c>
    </row>
    <row r="106" spans="1:6" x14ac:dyDescent="0.2">
      <c r="A106" t="s">
        <v>11</v>
      </c>
      <c r="B106" t="s">
        <v>29</v>
      </c>
      <c r="C106" t="s">
        <v>60</v>
      </c>
      <c r="D106" s="3">
        <v>106103.6597968789</v>
      </c>
      <c r="E106" s="3">
        <v>1264.6209066138219</v>
      </c>
      <c r="F106" t="s">
        <v>123</v>
      </c>
    </row>
    <row r="107" spans="1:6" x14ac:dyDescent="0.2">
      <c r="A107" t="s">
        <v>8</v>
      </c>
      <c r="B107" t="s">
        <v>29</v>
      </c>
      <c r="C107" t="s">
        <v>54</v>
      </c>
      <c r="D107" s="3">
        <v>129022.6294277929</v>
      </c>
      <c r="E107" s="3">
        <v>628.14373297002726</v>
      </c>
      <c r="F107" t="s">
        <v>124</v>
      </c>
    </row>
    <row r="108" spans="1:6" x14ac:dyDescent="0.2">
      <c r="A108" t="s">
        <v>10</v>
      </c>
      <c r="B108" t="s">
        <v>28</v>
      </c>
      <c r="C108" t="s">
        <v>38</v>
      </c>
      <c r="D108" s="3">
        <v>285168.45504087192</v>
      </c>
      <c r="E108" s="3">
        <v>521.41496160515237</v>
      </c>
      <c r="F108" t="s">
        <v>122</v>
      </c>
    </row>
    <row r="109" spans="1:6" x14ac:dyDescent="0.2">
      <c r="A109" t="s">
        <v>11</v>
      </c>
      <c r="B109" t="s">
        <v>29</v>
      </c>
      <c r="C109" t="s">
        <v>50</v>
      </c>
      <c r="D109" s="3">
        <v>134137.18196680711</v>
      </c>
      <c r="E109" s="3">
        <v>315.60918999256882</v>
      </c>
      <c r="F109" t="s">
        <v>122</v>
      </c>
    </row>
    <row r="110" spans="1:6" x14ac:dyDescent="0.2">
      <c r="A110" t="s">
        <v>8</v>
      </c>
      <c r="B110" t="s">
        <v>29</v>
      </c>
      <c r="C110" t="s">
        <v>63</v>
      </c>
      <c r="D110" s="3">
        <v>100815.48024523161</v>
      </c>
      <c r="E110" s="3">
        <v>82.62261580381471</v>
      </c>
      <c r="F110" t="s">
        <v>125</v>
      </c>
    </row>
    <row r="111" spans="1:6" x14ac:dyDescent="0.2">
      <c r="A111" t="s">
        <v>13</v>
      </c>
      <c r="B111" t="s">
        <v>28</v>
      </c>
      <c r="C111" t="s">
        <v>47</v>
      </c>
      <c r="D111" s="3">
        <v>173775.70723309391</v>
      </c>
      <c r="E111" s="3">
        <v>0</v>
      </c>
      <c r="F111" t="s">
        <v>106</v>
      </c>
    </row>
    <row r="112" spans="1:6" x14ac:dyDescent="0.2">
      <c r="A112" t="s">
        <v>12</v>
      </c>
      <c r="B112" t="s">
        <v>28</v>
      </c>
      <c r="C112" t="s">
        <v>71</v>
      </c>
      <c r="D112" s="3">
        <v>59119.867339608609</v>
      </c>
      <c r="E112" s="3">
        <v>0</v>
      </c>
      <c r="F112" t="s">
        <v>106</v>
      </c>
    </row>
    <row r="113" spans="1:6" x14ac:dyDescent="0.2">
      <c r="A113" t="s">
        <v>10</v>
      </c>
      <c r="B113" t="s">
        <v>28</v>
      </c>
      <c r="C113" t="s">
        <v>53</v>
      </c>
      <c r="D113" s="3">
        <v>128455.6164973991</v>
      </c>
      <c r="E113" s="3">
        <v>0</v>
      </c>
      <c r="F113" t="s">
        <v>106</v>
      </c>
    </row>
    <row r="114" spans="1:6" x14ac:dyDescent="0.2">
      <c r="A114" t="s">
        <v>8</v>
      </c>
      <c r="B114" t="s">
        <v>28</v>
      </c>
      <c r="C114" t="s">
        <v>52</v>
      </c>
      <c r="D114" s="3">
        <v>128803.36171662129</v>
      </c>
      <c r="E114" s="3">
        <v>0</v>
      </c>
      <c r="F114" t="s">
        <v>106</v>
      </c>
    </row>
    <row r="115" spans="1:6" x14ac:dyDescent="0.2">
      <c r="A115" t="s">
        <v>9</v>
      </c>
      <c r="B115" t="s">
        <v>28</v>
      </c>
      <c r="C115" t="s">
        <v>72</v>
      </c>
      <c r="D115" s="3">
        <v>51456.088679712659</v>
      </c>
      <c r="E115" s="3">
        <v>0</v>
      </c>
      <c r="F115" t="s">
        <v>106</v>
      </c>
    </row>
    <row r="116" spans="1:6" x14ac:dyDescent="0.2">
      <c r="A116" t="s">
        <v>10</v>
      </c>
      <c r="B116" t="s">
        <v>28</v>
      </c>
      <c r="C116" t="s">
        <v>66</v>
      </c>
      <c r="D116" s="3">
        <v>87583.621253406003</v>
      </c>
      <c r="E116" s="3">
        <v>0</v>
      </c>
      <c r="F116" t="s">
        <v>106</v>
      </c>
    </row>
    <row r="117" spans="1:6" x14ac:dyDescent="0.2">
      <c r="A117" t="s">
        <v>11</v>
      </c>
      <c r="B117" t="s">
        <v>28</v>
      </c>
      <c r="C117" t="s">
        <v>43</v>
      </c>
      <c r="D117" s="3">
        <v>211762.84575179589</v>
      </c>
      <c r="E117" s="3">
        <v>0</v>
      </c>
      <c r="F117" t="s">
        <v>106</v>
      </c>
    </row>
    <row r="118" spans="1:6" x14ac:dyDescent="0.2">
      <c r="A118" t="s">
        <v>10</v>
      </c>
      <c r="B118" t="s">
        <v>28</v>
      </c>
      <c r="C118" t="s">
        <v>99</v>
      </c>
      <c r="D118" s="3">
        <v>19268.50507802824</v>
      </c>
      <c r="E118" s="3">
        <v>0</v>
      </c>
      <c r="F118" t="s">
        <v>106</v>
      </c>
    </row>
    <row r="119" spans="1:6" x14ac:dyDescent="0.2">
      <c r="A119" t="s">
        <v>12</v>
      </c>
      <c r="B119" t="s">
        <v>28</v>
      </c>
      <c r="C119" t="s">
        <v>82</v>
      </c>
      <c r="D119" s="3">
        <v>32894.497089422839</v>
      </c>
      <c r="E119" s="3">
        <v>0</v>
      </c>
      <c r="F119" t="s">
        <v>106</v>
      </c>
    </row>
    <row r="120" spans="1:6" x14ac:dyDescent="0.2">
      <c r="A120" t="s">
        <v>11</v>
      </c>
      <c r="B120" t="s">
        <v>28</v>
      </c>
      <c r="C120" t="s">
        <v>69</v>
      </c>
      <c r="D120" s="3">
        <v>67649.573990587072</v>
      </c>
      <c r="E120" s="3">
        <v>0</v>
      </c>
      <c r="F120" t="s">
        <v>106</v>
      </c>
    </row>
    <row r="121" spans="1:6" x14ac:dyDescent="0.2">
      <c r="A121" t="s">
        <v>12</v>
      </c>
      <c r="B121" t="s">
        <v>28</v>
      </c>
      <c r="C121" t="s">
        <v>51</v>
      </c>
      <c r="D121" s="3">
        <v>133352.82775575921</v>
      </c>
      <c r="E121" s="3">
        <v>0</v>
      </c>
      <c r="F121" t="s">
        <v>106</v>
      </c>
    </row>
    <row r="122" spans="1:6" x14ac:dyDescent="0.2">
      <c r="A122" t="s">
        <v>14</v>
      </c>
      <c r="B122" t="s">
        <v>28</v>
      </c>
      <c r="C122" t="s">
        <v>102</v>
      </c>
      <c r="D122" s="3">
        <v>11922.75156056478</v>
      </c>
      <c r="E122" s="3">
        <v>0</v>
      </c>
      <c r="F122" t="s">
        <v>106</v>
      </c>
    </row>
    <row r="123" spans="1:6" x14ac:dyDescent="0.2">
      <c r="A123" t="s">
        <v>12</v>
      </c>
      <c r="B123" t="s">
        <v>28</v>
      </c>
      <c r="C123" t="s">
        <v>46</v>
      </c>
      <c r="D123" s="3">
        <v>177803.0367847411</v>
      </c>
      <c r="E123" s="3">
        <v>0</v>
      </c>
      <c r="F123" t="s">
        <v>106</v>
      </c>
    </row>
    <row r="124" spans="1:6" x14ac:dyDescent="0.2">
      <c r="A124" t="s">
        <v>14</v>
      </c>
      <c r="B124" t="s">
        <v>28</v>
      </c>
      <c r="C124" t="s">
        <v>90</v>
      </c>
      <c r="D124" s="3">
        <v>23696.095206836759</v>
      </c>
      <c r="E124" s="3">
        <v>0</v>
      </c>
      <c r="F124" t="s">
        <v>106</v>
      </c>
    </row>
    <row r="125" spans="1:6" x14ac:dyDescent="0.2">
      <c r="A125" t="s">
        <v>14</v>
      </c>
      <c r="B125" t="s">
        <v>28</v>
      </c>
      <c r="C125" t="s">
        <v>77</v>
      </c>
      <c r="D125" s="3">
        <v>44709.488308149623</v>
      </c>
      <c r="E125" s="3">
        <v>0</v>
      </c>
      <c r="F125" t="s">
        <v>106</v>
      </c>
    </row>
    <row r="126" spans="1:6" x14ac:dyDescent="0.2">
      <c r="A126" t="s">
        <v>13</v>
      </c>
      <c r="B126" t="s">
        <v>28</v>
      </c>
      <c r="C126" t="s">
        <v>101</v>
      </c>
      <c r="D126" s="3">
        <v>17838.45708446866</v>
      </c>
      <c r="E126" s="3">
        <v>0</v>
      </c>
      <c r="F126" t="s">
        <v>106</v>
      </c>
    </row>
    <row r="127" spans="1:6" x14ac:dyDescent="0.2">
      <c r="A127" t="s">
        <v>15</v>
      </c>
      <c r="B127" t="s">
        <v>28</v>
      </c>
      <c r="C127" t="s">
        <v>44</v>
      </c>
      <c r="D127" s="3">
        <v>209842.21776071339</v>
      </c>
      <c r="E127" s="3">
        <v>0</v>
      </c>
      <c r="F127" t="s">
        <v>106</v>
      </c>
    </row>
    <row r="128" spans="1:6" x14ac:dyDescent="0.2">
      <c r="A128" t="s">
        <v>15</v>
      </c>
      <c r="B128" t="s">
        <v>28</v>
      </c>
      <c r="C128" t="s">
        <v>87</v>
      </c>
      <c r="D128" s="3">
        <v>26980.22255387664</v>
      </c>
      <c r="E128" s="3">
        <v>0</v>
      </c>
      <c r="F128" t="s">
        <v>106</v>
      </c>
    </row>
    <row r="129" spans="1:6" x14ac:dyDescent="0.2">
      <c r="A129" t="s">
        <v>8</v>
      </c>
      <c r="B129" t="s">
        <v>28</v>
      </c>
      <c r="C129" t="s">
        <v>48</v>
      </c>
      <c r="D129" s="3">
        <v>148838.28678474121</v>
      </c>
      <c r="E129" s="3">
        <v>0</v>
      </c>
      <c r="F129" t="s">
        <v>106</v>
      </c>
    </row>
    <row r="130" spans="1:6" x14ac:dyDescent="0.2">
      <c r="A130" t="s">
        <v>15</v>
      </c>
      <c r="B130" t="s">
        <v>29</v>
      </c>
      <c r="C130" t="s">
        <v>95</v>
      </c>
      <c r="D130" s="3">
        <v>21493.795021055241</v>
      </c>
      <c r="E130" s="3">
        <v>0</v>
      </c>
      <c r="F130" t="s">
        <v>106</v>
      </c>
    </row>
    <row r="131" spans="1:6" x14ac:dyDescent="0.2">
      <c r="A131" t="s">
        <v>8</v>
      </c>
      <c r="B131" t="s">
        <v>29</v>
      </c>
      <c r="C131" t="s">
        <v>73</v>
      </c>
      <c r="D131" s="3">
        <v>51405.037465940062</v>
      </c>
      <c r="E131" s="3">
        <v>0</v>
      </c>
      <c r="F131" t="s">
        <v>106</v>
      </c>
    </row>
    <row r="132" spans="1:6" x14ac:dyDescent="0.2">
      <c r="A132" t="s">
        <v>10</v>
      </c>
      <c r="B132" t="s">
        <v>29</v>
      </c>
      <c r="C132" t="s">
        <v>49</v>
      </c>
      <c r="D132" s="3">
        <v>136221.55575922711</v>
      </c>
      <c r="E132" s="3">
        <v>0</v>
      </c>
      <c r="F132" t="s">
        <v>106</v>
      </c>
    </row>
    <row r="133" spans="1:6" x14ac:dyDescent="0.2">
      <c r="A133" t="s">
        <v>10</v>
      </c>
      <c r="B133" t="s">
        <v>29</v>
      </c>
      <c r="C133" t="s">
        <v>65</v>
      </c>
      <c r="D133" s="3">
        <v>93573.931186524642</v>
      </c>
      <c r="E133" s="3">
        <v>0</v>
      </c>
      <c r="F133" t="s">
        <v>106</v>
      </c>
    </row>
    <row r="134" spans="1:6" x14ac:dyDescent="0.2">
      <c r="A134" t="s">
        <v>11</v>
      </c>
      <c r="B134" t="s">
        <v>29</v>
      </c>
      <c r="C134" t="s">
        <v>56</v>
      </c>
      <c r="D134" s="3">
        <v>125902.9491206341</v>
      </c>
      <c r="E134" s="3">
        <v>0</v>
      </c>
      <c r="F134" t="s">
        <v>106</v>
      </c>
    </row>
    <row r="135" spans="1:6" x14ac:dyDescent="0.2">
      <c r="A135" t="s">
        <v>11</v>
      </c>
      <c r="B135" t="s">
        <v>29</v>
      </c>
      <c r="C135" t="s">
        <v>84</v>
      </c>
      <c r="D135" s="3">
        <v>32074.19346049046</v>
      </c>
      <c r="E135" s="3">
        <v>0</v>
      </c>
      <c r="F135" t="s">
        <v>106</v>
      </c>
    </row>
    <row r="136" spans="1:6" x14ac:dyDescent="0.2">
      <c r="A136" t="s">
        <v>10</v>
      </c>
      <c r="B136" t="s">
        <v>29</v>
      </c>
      <c r="C136" t="s">
        <v>85</v>
      </c>
      <c r="D136" s="3">
        <v>28265.89422838742</v>
      </c>
      <c r="E136" s="3">
        <v>0</v>
      </c>
      <c r="F136" t="s">
        <v>106</v>
      </c>
    </row>
    <row r="137" spans="1:6" x14ac:dyDescent="0.2">
      <c r="A137" t="s">
        <v>12</v>
      </c>
      <c r="B137" t="s">
        <v>29</v>
      </c>
      <c r="C137" t="s">
        <v>41</v>
      </c>
      <c r="D137" s="3">
        <v>213363.64414168941</v>
      </c>
      <c r="E137" s="3">
        <v>0</v>
      </c>
      <c r="F137" t="s">
        <v>106</v>
      </c>
    </row>
    <row r="138" spans="1:6" x14ac:dyDescent="0.2">
      <c r="A138" t="s">
        <v>13</v>
      </c>
      <c r="B138" t="s">
        <v>29</v>
      </c>
      <c r="C138" t="s">
        <v>86</v>
      </c>
      <c r="D138" s="3">
        <v>27282.669494674268</v>
      </c>
      <c r="E138" s="3">
        <v>0</v>
      </c>
      <c r="F138" t="s">
        <v>106</v>
      </c>
    </row>
    <row r="139" spans="1:6" x14ac:dyDescent="0.2">
      <c r="A139" t="s">
        <v>12</v>
      </c>
      <c r="B139" t="s">
        <v>29</v>
      </c>
      <c r="C139" t="s">
        <v>62</v>
      </c>
      <c r="D139" s="3">
        <v>102236.4710676245</v>
      </c>
      <c r="E139" s="3">
        <v>0</v>
      </c>
      <c r="F139" t="s">
        <v>106</v>
      </c>
    </row>
    <row r="140" spans="1:6" x14ac:dyDescent="0.2">
      <c r="A140" t="s">
        <v>9</v>
      </c>
      <c r="B140" t="s">
        <v>29</v>
      </c>
      <c r="C140" t="s">
        <v>70</v>
      </c>
      <c r="D140" s="3">
        <v>64318.518702006448</v>
      </c>
      <c r="E140" s="3">
        <v>0</v>
      </c>
      <c r="F140" t="s">
        <v>106</v>
      </c>
    </row>
    <row r="141" spans="1:6" x14ac:dyDescent="0.2">
      <c r="A141" t="s">
        <v>8</v>
      </c>
      <c r="B141" t="s">
        <v>29</v>
      </c>
      <c r="C141" t="s">
        <v>76</v>
      </c>
      <c r="D141" s="3">
        <v>45644.75817438693</v>
      </c>
      <c r="E141" s="3">
        <v>0</v>
      </c>
      <c r="F141" t="s">
        <v>106</v>
      </c>
    </row>
    <row r="142" spans="1:6" x14ac:dyDescent="0.2">
      <c r="A142" t="s">
        <v>8</v>
      </c>
      <c r="B142" t="s">
        <v>29</v>
      </c>
      <c r="C142" t="s">
        <v>68</v>
      </c>
      <c r="D142" s="3">
        <v>68466.607629427803</v>
      </c>
      <c r="E142" s="3">
        <v>0</v>
      </c>
      <c r="F142" t="s">
        <v>106</v>
      </c>
    </row>
    <row r="143" spans="1:6" x14ac:dyDescent="0.2">
      <c r="A143" t="s">
        <v>8</v>
      </c>
      <c r="B143" t="s">
        <v>29</v>
      </c>
      <c r="C143" t="s">
        <v>83</v>
      </c>
      <c r="D143" s="3">
        <v>32093.58991825613</v>
      </c>
      <c r="E143" s="3">
        <v>0</v>
      </c>
      <c r="F143" t="s">
        <v>106</v>
      </c>
    </row>
    <row r="144" spans="1:6" x14ac:dyDescent="0.2">
      <c r="A144" t="s">
        <v>13</v>
      </c>
      <c r="B144" t="s">
        <v>29</v>
      </c>
      <c r="C144" t="s">
        <v>79</v>
      </c>
      <c r="D144" s="3">
        <v>35531.787738419633</v>
      </c>
      <c r="E144" s="3">
        <v>0</v>
      </c>
      <c r="F144" t="s">
        <v>106</v>
      </c>
    </row>
    <row r="145" spans="1:6" x14ac:dyDescent="0.2">
      <c r="A145" t="s">
        <v>11</v>
      </c>
      <c r="B145" t="s">
        <v>29</v>
      </c>
      <c r="C145" t="s">
        <v>57</v>
      </c>
      <c r="D145" s="3">
        <v>110759.1683675997</v>
      </c>
      <c r="E145" s="3">
        <v>0</v>
      </c>
      <c r="F145" t="s">
        <v>106</v>
      </c>
    </row>
    <row r="146" spans="1:6" x14ac:dyDescent="0.2">
      <c r="A146" t="s">
        <v>13</v>
      </c>
      <c r="B146" t="s">
        <v>29</v>
      </c>
      <c r="C146" t="s">
        <v>75</v>
      </c>
      <c r="D146" s="3">
        <v>45771.996631161754</v>
      </c>
      <c r="E146" s="3">
        <v>0</v>
      </c>
      <c r="F146" t="s">
        <v>106</v>
      </c>
    </row>
    <row r="147" spans="1:6" x14ac:dyDescent="0.2">
      <c r="A147" t="s">
        <v>15</v>
      </c>
      <c r="B147" t="s">
        <v>29</v>
      </c>
      <c r="C147" t="s">
        <v>88</v>
      </c>
      <c r="D147" s="3">
        <v>26980.22255387664</v>
      </c>
      <c r="E147" s="3">
        <v>0</v>
      </c>
      <c r="F147" t="s">
        <v>106</v>
      </c>
    </row>
    <row r="148" spans="1:6" x14ac:dyDescent="0.2">
      <c r="A148" t="s">
        <v>12</v>
      </c>
      <c r="B148" t="s">
        <v>29</v>
      </c>
      <c r="C148" t="s">
        <v>67</v>
      </c>
      <c r="D148" s="3">
        <v>71121.21471389645</v>
      </c>
      <c r="E148" s="3">
        <v>0</v>
      </c>
      <c r="F148" t="s">
        <v>106</v>
      </c>
    </row>
    <row r="149" spans="1:6" x14ac:dyDescent="0.2">
      <c r="A149" t="s">
        <v>12</v>
      </c>
      <c r="B149" t="s">
        <v>29</v>
      </c>
      <c r="C149" t="s">
        <v>100</v>
      </c>
      <c r="D149" s="3">
        <v>19262.454124349759</v>
      </c>
      <c r="E149" s="3">
        <v>0</v>
      </c>
      <c r="F149" t="s">
        <v>106</v>
      </c>
    </row>
    <row r="150" spans="1:6" x14ac:dyDescent="0.2">
      <c r="A150" t="s">
        <v>13</v>
      </c>
      <c r="B150" t="s">
        <v>29</v>
      </c>
      <c r="C150" t="s">
        <v>45</v>
      </c>
      <c r="D150" s="3">
        <v>207867.22509289079</v>
      </c>
      <c r="E150" s="3">
        <v>0</v>
      </c>
      <c r="F150" t="s">
        <v>106</v>
      </c>
    </row>
    <row r="151" spans="1:6" x14ac:dyDescent="0.2">
      <c r="A151" t="s">
        <v>15</v>
      </c>
      <c r="B151" t="s">
        <v>29</v>
      </c>
      <c r="C151" t="s">
        <v>98</v>
      </c>
      <c r="D151" s="3">
        <v>20234.888642556351</v>
      </c>
      <c r="E151" s="3">
        <v>0</v>
      </c>
      <c r="F151" t="s">
        <v>106</v>
      </c>
    </row>
    <row r="152" spans="1:6" x14ac:dyDescent="0.2">
      <c r="A152" t="s">
        <v>15</v>
      </c>
      <c r="B152" t="s">
        <v>29</v>
      </c>
      <c r="C152" t="s">
        <v>89</v>
      </c>
      <c r="D152" s="3">
        <v>26980.22255387664</v>
      </c>
      <c r="E152" s="3">
        <v>0</v>
      </c>
      <c r="F152" t="s">
        <v>106</v>
      </c>
    </row>
    <row r="153" spans="1:6" x14ac:dyDescent="0.2">
      <c r="A153" t="s">
        <v>14</v>
      </c>
      <c r="B153" t="s">
        <v>29</v>
      </c>
      <c r="C153" t="s">
        <v>78</v>
      </c>
      <c r="D153" s="3">
        <v>40238.318132276443</v>
      </c>
      <c r="E153" s="3">
        <v>0</v>
      </c>
      <c r="F153" t="s">
        <v>106</v>
      </c>
    </row>
  </sheetData>
  <mergeCells count="3">
    <mergeCell ref="A1:G1"/>
    <mergeCell ref="A21:F21"/>
    <mergeCell ref="A88:F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2026-02-06T12:27:29Z</dcterms:created>
  <dcterms:modified xsi:type="dcterms:W3CDTF">2026-02-06T12:28:41Z</dcterms:modified>
</cp:coreProperties>
</file>